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m365-my.sharepoint.com/personal/enrique_chbartol_alumnos_upm_es/Documents/UNIVERSIDAD/MASTER/TFM/CODE/aircraft-positioning/"/>
    </mc:Choice>
  </mc:AlternateContent>
  <xr:revisionPtr revIDLastSave="304" documentId="13_ncr:1_{A8BDC7DE-0FD8-4FE3-A3D5-C14737BF715F}" xr6:coauthVersionLast="47" xr6:coauthVersionMax="47" xr10:uidLastSave="{CFFF1898-5277-4A8C-9327-8056CC1E1325}"/>
  <bookViews>
    <workbookView xWindow="-108" yWindow="-108" windowWidth="23256" windowHeight="12456" activeTab="1" xr2:uid="{F5F6D73E-5AE2-4BF6-A18F-AC4E03A6BC3E}"/>
  </bookViews>
  <sheets>
    <sheet name="case" sheetId="13" r:id="rId1"/>
    <sheet name="Planes2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4" l="1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</calcChain>
</file>

<file path=xl/sharedStrings.xml><?xml version="1.0" encoding="utf-8"?>
<sst xmlns="http://schemas.openxmlformats.org/spreadsheetml/2006/main" count="40" uniqueCount="20">
  <si>
    <t>job</t>
  </si>
  <si>
    <t>task</t>
  </si>
  <si>
    <t>date</t>
  </si>
  <si>
    <t>plane</t>
  </si>
  <si>
    <t>duration</t>
  </si>
  <si>
    <t>80-1</t>
  </si>
  <si>
    <t>174-1</t>
  </si>
  <si>
    <t>208-1</t>
  </si>
  <si>
    <t>212-1</t>
  </si>
  <si>
    <t>218-1</t>
  </si>
  <si>
    <t>228-1</t>
  </si>
  <si>
    <t>232-1</t>
  </si>
  <si>
    <t>234-1</t>
  </si>
  <si>
    <t>238-1</t>
  </si>
  <si>
    <t>266-1</t>
  </si>
  <si>
    <t>252-1</t>
  </si>
  <si>
    <t>es</t>
  </si>
  <si>
    <t>lf</t>
  </si>
  <si>
    <t>client</t>
  </si>
  <si>
    <t>228-2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</si>
</sst>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2" borderId="1" xfId="0" applyNumberFormat="1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0901-78DB-4F6E-A480-7C92760ACE58}">
  <dimension ref="A1:H33"/>
  <sheetViews>
    <sheetView zoomScale="95" workbookViewId="0">
      <selection sqref="A1:H27"/>
    </sheetView>
  </sheetViews>
  <sheetFormatPr baseColWidth="10" defaultRowHeight="14.4" x14ac:dyDescent="0.3"/>
  <cols>
    <col min="4" max="4" width="11.5546875" style="3"/>
    <col min="7" max="8" width="11.5546875" style="3"/>
  </cols>
  <sheetData>
    <row r="1" spans="1:8" x14ac:dyDescent="0.3">
      <c r="A1" s="9" t="s">
        <v>3</v>
      </c>
      <c r="B1" s="9" t="s">
        <v>1</v>
      </c>
      <c r="C1" s="9" t="s">
        <v>0</v>
      </c>
      <c r="D1" s="10" t="s">
        <v>2</v>
      </c>
      <c r="E1" s="9" t="s">
        <v>4</v>
      </c>
      <c r="F1" s="9" t="s">
        <v>18</v>
      </c>
      <c r="G1" s="11" t="s">
        <v>16</v>
      </c>
      <c r="H1" s="11" t="s">
        <v>17</v>
      </c>
    </row>
    <row r="2" spans="1:8" x14ac:dyDescent="0.3">
      <c r="A2" s="4">
        <v>204</v>
      </c>
      <c r="B2" s="6">
        <v>1</v>
      </c>
      <c r="C2" s="4" t="str">
        <f t="shared" ref="C2:C15" si="0">_xlfn.CONCAT(A2,"-",B2)</f>
        <v>204-1</v>
      </c>
      <c r="D2" s="5">
        <v>45841</v>
      </c>
      <c r="E2" s="4">
        <v>1</v>
      </c>
      <c r="F2" s="4">
        <v>3</v>
      </c>
      <c r="G2" s="5">
        <v>45841</v>
      </c>
      <c r="H2" s="5">
        <v>45842</v>
      </c>
    </row>
    <row r="3" spans="1:8" x14ac:dyDescent="0.3">
      <c r="A3" s="4">
        <v>14</v>
      </c>
      <c r="B3" s="6">
        <v>1</v>
      </c>
      <c r="C3" s="4" t="str">
        <f t="shared" si="0"/>
        <v>14-1</v>
      </c>
      <c r="D3" s="5">
        <v>45681</v>
      </c>
      <c r="E3" s="4">
        <v>293</v>
      </c>
      <c r="F3" s="4">
        <v>3</v>
      </c>
      <c r="G3" s="5">
        <v>45628</v>
      </c>
      <c r="H3" s="5">
        <v>46083</v>
      </c>
    </row>
    <row r="4" spans="1:8" x14ac:dyDescent="0.3">
      <c r="A4" s="4">
        <v>144</v>
      </c>
      <c r="B4" s="6">
        <v>1</v>
      </c>
      <c r="C4" s="4" t="str">
        <f t="shared" si="0"/>
        <v>144-1</v>
      </c>
      <c r="D4" s="5">
        <v>45841</v>
      </c>
      <c r="E4" s="4">
        <v>9</v>
      </c>
      <c r="F4" s="4">
        <v>2</v>
      </c>
      <c r="G4" s="5">
        <v>45663</v>
      </c>
      <c r="H4" s="5">
        <v>45864</v>
      </c>
    </row>
    <row r="5" spans="1:8" x14ac:dyDescent="0.3">
      <c r="A5" s="4">
        <v>154</v>
      </c>
      <c r="B5" s="6">
        <v>1</v>
      </c>
      <c r="C5" s="4" t="str">
        <f t="shared" si="0"/>
        <v>154-1</v>
      </c>
      <c r="D5" s="5">
        <v>45841</v>
      </c>
      <c r="E5" s="4">
        <v>70</v>
      </c>
      <c r="F5" s="4">
        <v>1</v>
      </c>
      <c r="G5" s="5">
        <v>45670</v>
      </c>
      <c r="H5" s="5">
        <v>45845</v>
      </c>
    </row>
    <row r="6" spans="1:8" x14ac:dyDescent="0.3">
      <c r="A6" s="4">
        <v>54</v>
      </c>
      <c r="B6" s="6">
        <v>1</v>
      </c>
      <c r="C6" s="4" t="str">
        <f t="shared" si="0"/>
        <v>54-1</v>
      </c>
      <c r="D6" s="5">
        <v>45779</v>
      </c>
      <c r="E6" s="4">
        <v>62</v>
      </c>
      <c r="F6" s="4">
        <v>2</v>
      </c>
      <c r="G6" s="5">
        <v>45768</v>
      </c>
      <c r="H6" s="5">
        <v>45943</v>
      </c>
    </row>
    <row r="7" spans="1:8" x14ac:dyDescent="0.3">
      <c r="A7" s="4">
        <v>258</v>
      </c>
      <c r="B7" s="6">
        <v>1</v>
      </c>
      <c r="C7" s="4" t="str">
        <f t="shared" si="0"/>
        <v>258-1</v>
      </c>
      <c r="D7" s="5">
        <v>45842</v>
      </c>
      <c r="E7" s="4">
        <v>83</v>
      </c>
      <c r="F7" s="4">
        <v>1</v>
      </c>
      <c r="G7" s="5">
        <v>45831</v>
      </c>
      <c r="H7" s="5">
        <v>45999</v>
      </c>
    </row>
    <row r="8" spans="1:8" x14ac:dyDescent="0.3">
      <c r="A8" s="4">
        <v>76</v>
      </c>
      <c r="B8" s="6">
        <v>1</v>
      </c>
      <c r="C8" s="4" t="str">
        <f t="shared" si="0"/>
        <v>76-1</v>
      </c>
      <c r="D8" s="5">
        <v>45933</v>
      </c>
      <c r="E8" s="4">
        <v>83</v>
      </c>
      <c r="F8" s="4">
        <v>2</v>
      </c>
      <c r="G8" s="5">
        <v>45922</v>
      </c>
      <c r="H8" s="5">
        <v>46090</v>
      </c>
    </row>
    <row r="9" spans="1:8" x14ac:dyDescent="0.3">
      <c r="A9" s="4">
        <v>78</v>
      </c>
      <c r="B9" s="6">
        <v>1</v>
      </c>
      <c r="C9" s="4" t="str">
        <f t="shared" si="0"/>
        <v>78-1</v>
      </c>
      <c r="D9" s="5">
        <v>45989</v>
      </c>
      <c r="E9" s="4">
        <v>76</v>
      </c>
      <c r="F9" s="4">
        <v>1</v>
      </c>
      <c r="G9" s="5">
        <v>45978</v>
      </c>
      <c r="H9" s="5">
        <v>46146</v>
      </c>
    </row>
    <row r="10" spans="1:8" x14ac:dyDescent="0.3">
      <c r="A10" s="4">
        <v>20</v>
      </c>
      <c r="B10" s="6">
        <v>1</v>
      </c>
      <c r="C10" s="4" t="str">
        <f t="shared" si="0"/>
        <v>20-1</v>
      </c>
      <c r="D10" s="5">
        <v>46080</v>
      </c>
      <c r="E10" s="4">
        <v>363</v>
      </c>
      <c r="F10" s="4">
        <v>3</v>
      </c>
      <c r="G10" s="5">
        <v>46069</v>
      </c>
      <c r="H10" s="5">
        <v>46524</v>
      </c>
    </row>
    <row r="11" spans="1:8" x14ac:dyDescent="0.3">
      <c r="A11" s="4">
        <v>84</v>
      </c>
      <c r="B11" s="6">
        <v>1</v>
      </c>
      <c r="C11" s="4" t="str">
        <f t="shared" si="0"/>
        <v>84-1</v>
      </c>
      <c r="D11" s="5">
        <v>46080</v>
      </c>
      <c r="E11" s="4">
        <v>55</v>
      </c>
      <c r="F11" s="4">
        <v>2</v>
      </c>
      <c r="G11" s="5">
        <v>46069</v>
      </c>
      <c r="H11" s="5">
        <v>46209</v>
      </c>
    </row>
    <row r="12" spans="1:8" x14ac:dyDescent="0.3">
      <c r="A12" s="4">
        <v>52</v>
      </c>
      <c r="B12" s="6">
        <v>1</v>
      </c>
      <c r="C12" s="4" t="str">
        <f t="shared" si="0"/>
        <v>52-1</v>
      </c>
      <c r="D12" s="5">
        <v>46206</v>
      </c>
      <c r="E12" s="4">
        <v>91</v>
      </c>
      <c r="F12" s="4">
        <v>2</v>
      </c>
      <c r="G12" s="5">
        <v>46195</v>
      </c>
      <c r="H12" s="5">
        <v>46356</v>
      </c>
    </row>
    <row r="13" spans="1:8" x14ac:dyDescent="0.3">
      <c r="A13" s="4">
        <v>50</v>
      </c>
      <c r="B13" s="6">
        <v>1</v>
      </c>
      <c r="C13" s="4" t="str">
        <f t="shared" si="0"/>
        <v>50-1</v>
      </c>
      <c r="D13" s="5">
        <v>46144</v>
      </c>
      <c r="E13" s="4">
        <v>90</v>
      </c>
      <c r="F13" s="4">
        <v>1</v>
      </c>
      <c r="G13" s="5">
        <v>46132</v>
      </c>
      <c r="H13" s="5">
        <v>46293</v>
      </c>
    </row>
    <row r="14" spans="1:8" x14ac:dyDescent="0.3">
      <c r="A14" s="4">
        <v>82</v>
      </c>
      <c r="B14" s="6">
        <v>1</v>
      </c>
      <c r="C14" s="4" t="str">
        <f t="shared" si="0"/>
        <v>82-1</v>
      </c>
      <c r="D14" s="5">
        <v>45841</v>
      </c>
      <c r="E14" s="4">
        <v>134</v>
      </c>
      <c r="F14" s="4">
        <v>5</v>
      </c>
      <c r="G14" s="5">
        <v>45841</v>
      </c>
      <c r="H14" s="5">
        <v>46034</v>
      </c>
    </row>
    <row r="15" spans="1:8" x14ac:dyDescent="0.3">
      <c r="A15" s="4">
        <v>114</v>
      </c>
      <c r="B15" s="6">
        <v>1</v>
      </c>
      <c r="C15" s="4" t="str">
        <f t="shared" si="0"/>
        <v>114-1</v>
      </c>
      <c r="D15" s="5">
        <v>46010</v>
      </c>
      <c r="E15" s="4">
        <v>119</v>
      </c>
      <c r="F15" s="4">
        <v>5</v>
      </c>
      <c r="G15" s="5">
        <v>45999</v>
      </c>
      <c r="H15" s="5">
        <v>46188</v>
      </c>
    </row>
    <row r="16" spans="1:8" x14ac:dyDescent="0.3">
      <c r="A16" s="7">
        <v>80</v>
      </c>
      <c r="B16" s="8">
        <v>1</v>
      </c>
      <c r="C16" s="7" t="s">
        <v>5</v>
      </c>
      <c r="D16" s="5">
        <v>46185</v>
      </c>
      <c r="E16" s="4">
        <v>392</v>
      </c>
      <c r="F16" s="4">
        <v>5</v>
      </c>
      <c r="G16" s="5">
        <v>46174</v>
      </c>
      <c r="H16" s="5">
        <v>46636</v>
      </c>
    </row>
    <row r="17" spans="1:8" x14ac:dyDescent="0.3">
      <c r="A17" s="7">
        <v>174</v>
      </c>
      <c r="B17" s="8">
        <v>1</v>
      </c>
      <c r="C17" s="7" t="s">
        <v>6</v>
      </c>
      <c r="D17" s="5">
        <v>46430</v>
      </c>
      <c r="E17" s="4">
        <v>196</v>
      </c>
      <c r="F17" s="4">
        <v>1</v>
      </c>
      <c r="G17" s="5">
        <v>46419</v>
      </c>
      <c r="H17" s="5">
        <v>46685</v>
      </c>
    </row>
    <row r="18" spans="1:8" x14ac:dyDescent="0.3">
      <c r="A18" s="7">
        <v>208</v>
      </c>
      <c r="B18" s="8">
        <v>1</v>
      </c>
      <c r="C18" s="7" t="s">
        <v>7</v>
      </c>
      <c r="D18" s="5">
        <v>45845</v>
      </c>
      <c r="E18" s="4">
        <v>129</v>
      </c>
      <c r="F18" s="4">
        <v>4</v>
      </c>
      <c r="G18" s="5">
        <v>45838</v>
      </c>
      <c r="H18" s="5">
        <v>45988</v>
      </c>
    </row>
    <row r="19" spans="1:8" x14ac:dyDescent="0.3">
      <c r="A19" s="7">
        <v>212</v>
      </c>
      <c r="B19" s="8">
        <v>1</v>
      </c>
      <c r="C19" s="7" t="s">
        <v>8</v>
      </c>
      <c r="D19" s="5">
        <v>46013</v>
      </c>
      <c r="E19" s="4">
        <v>129</v>
      </c>
      <c r="F19" s="4">
        <v>4</v>
      </c>
      <c r="G19" s="5">
        <v>46006</v>
      </c>
      <c r="H19" s="5">
        <v>46156</v>
      </c>
    </row>
    <row r="20" spans="1:8" x14ac:dyDescent="0.3">
      <c r="A20" s="7">
        <v>218</v>
      </c>
      <c r="B20" s="8">
        <v>1</v>
      </c>
      <c r="C20" s="7" t="s">
        <v>9</v>
      </c>
      <c r="D20" s="5">
        <v>46181</v>
      </c>
      <c r="E20" s="4">
        <v>129</v>
      </c>
      <c r="F20" s="4">
        <v>4</v>
      </c>
      <c r="G20" s="5">
        <v>46174</v>
      </c>
      <c r="H20" s="5">
        <v>46324</v>
      </c>
    </row>
    <row r="21" spans="1:8" x14ac:dyDescent="0.3">
      <c r="A21" s="7">
        <v>228</v>
      </c>
      <c r="B21" s="8">
        <v>1</v>
      </c>
      <c r="C21" s="7" t="s">
        <v>10</v>
      </c>
      <c r="D21" s="5">
        <v>46349</v>
      </c>
      <c r="E21" s="4">
        <v>123</v>
      </c>
      <c r="F21" s="4">
        <v>4</v>
      </c>
      <c r="G21" s="5">
        <v>46342</v>
      </c>
      <c r="H21" s="5">
        <v>46486</v>
      </c>
    </row>
    <row r="22" spans="1:8" x14ac:dyDescent="0.3">
      <c r="A22" s="4">
        <v>232</v>
      </c>
      <c r="B22" s="6">
        <v>1</v>
      </c>
      <c r="C22" s="4" t="s">
        <v>11</v>
      </c>
      <c r="D22" s="5">
        <v>46510</v>
      </c>
      <c r="E22" s="4">
        <v>130</v>
      </c>
      <c r="F22" s="4">
        <v>4</v>
      </c>
      <c r="G22" s="5">
        <v>46503</v>
      </c>
      <c r="H22" s="5">
        <v>46654</v>
      </c>
    </row>
    <row r="23" spans="1:8" x14ac:dyDescent="0.3">
      <c r="A23" s="4">
        <v>234</v>
      </c>
      <c r="B23" s="6">
        <v>1</v>
      </c>
      <c r="C23" s="4" t="s">
        <v>12</v>
      </c>
      <c r="D23" s="5">
        <v>46678</v>
      </c>
      <c r="E23" s="4">
        <v>123</v>
      </c>
      <c r="F23" s="4">
        <v>4</v>
      </c>
      <c r="G23" s="5">
        <v>46671</v>
      </c>
      <c r="H23" s="5">
        <v>46815</v>
      </c>
    </row>
    <row r="24" spans="1:8" x14ac:dyDescent="0.3">
      <c r="A24" s="4">
        <v>238</v>
      </c>
      <c r="B24" s="6">
        <v>1</v>
      </c>
      <c r="C24" s="4" t="s">
        <v>13</v>
      </c>
      <c r="D24" s="5">
        <v>46839</v>
      </c>
      <c r="E24" s="4">
        <v>102</v>
      </c>
      <c r="F24" s="4">
        <v>4</v>
      </c>
      <c r="G24" s="5">
        <v>46832</v>
      </c>
      <c r="H24" s="5">
        <v>46955</v>
      </c>
    </row>
    <row r="25" spans="1:8" x14ac:dyDescent="0.3">
      <c r="A25" s="4">
        <v>266</v>
      </c>
      <c r="B25" s="6">
        <v>1</v>
      </c>
      <c r="C25" s="4" t="s">
        <v>14</v>
      </c>
      <c r="D25" s="5">
        <v>47007</v>
      </c>
      <c r="E25" s="4">
        <v>109</v>
      </c>
      <c r="F25" s="4">
        <v>4</v>
      </c>
      <c r="G25" s="5">
        <v>47000</v>
      </c>
      <c r="H25" s="5">
        <v>47130</v>
      </c>
    </row>
    <row r="26" spans="1:8" x14ac:dyDescent="0.3">
      <c r="A26" s="4">
        <v>252</v>
      </c>
      <c r="B26" s="6">
        <v>1</v>
      </c>
      <c r="C26" s="4" t="s">
        <v>15</v>
      </c>
      <c r="D26" s="5">
        <v>45621</v>
      </c>
      <c r="E26" s="4">
        <v>48</v>
      </c>
      <c r="F26" s="4">
        <v>4</v>
      </c>
      <c r="G26" s="5">
        <v>45614</v>
      </c>
      <c r="H26" s="5">
        <v>45683</v>
      </c>
    </row>
    <row r="27" spans="1:8" x14ac:dyDescent="0.3">
      <c r="A27" s="4">
        <v>228</v>
      </c>
      <c r="B27" s="6">
        <v>1</v>
      </c>
      <c r="C27" s="4" t="s">
        <v>19</v>
      </c>
      <c r="D27" s="5">
        <v>45712</v>
      </c>
      <c r="E27" s="4">
        <v>95</v>
      </c>
      <c r="F27" s="4">
        <v>4</v>
      </c>
      <c r="G27" s="5">
        <v>45705</v>
      </c>
      <c r="H27" s="5">
        <v>45821</v>
      </c>
    </row>
    <row r="33" spans="1:6" x14ac:dyDescent="0.3">
      <c r="A33" s="1"/>
      <c r="C33" s="1"/>
      <c r="D33" s="2"/>
      <c r="F33" s="1"/>
    </row>
  </sheetData>
  <conditionalFormatting sqref="A33">
    <cfRule type="duplicateValues" dxfId="4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7BDF-2DCD-444F-BD95-0DD4483A3608}">
  <dimension ref="A1:H33"/>
  <sheetViews>
    <sheetView tabSelected="1" zoomScale="95" workbookViewId="0">
      <selection sqref="A1:H27"/>
    </sheetView>
  </sheetViews>
  <sheetFormatPr baseColWidth="10" defaultRowHeight="14.4" x14ac:dyDescent="0.3"/>
  <cols>
    <col min="4" max="4" width="11.5546875" style="3"/>
    <col min="7" max="8" width="11.5546875" style="3"/>
  </cols>
  <sheetData>
    <row r="1" spans="1:8" x14ac:dyDescent="0.3">
      <c r="A1" s="9" t="s">
        <v>3</v>
      </c>
      <c r="B1" s="9" t="s">
        <v>1</v>
      </c>
      <c r="C1" s="9" t="s">
        <v>0</v>
      </c>
      <c r="D1" s="10" t="s">
        <v>2</v>
      </c>
      <c r="E1" s="9" t="s">
        <v>4</v>
      </c>
      <c r="F1" s="9" t="s">
        <v>18</v>
      </c>
      <c r="G1" s="11" t="s">
        <v>16</v>
      </c>
      <c r="H1" s="11" t="s">
        <v>17</v>
      </c>
    </row>
    <row r="2" spans="1:8" x14ac:dyDescent="0.3">
      <c r="A2" s="4">
        <v>204</v>
      </c>
      <c r="B2" s="6">
        <v>1</v>
      </c>
      <c r="C2" s="4" t="str">
        <f t="shared" ref="C2:C15" si="0">_xlfn.CONCAT(A2,"-",B2)</f>
        <v>204-1</v>
      </c>
      <c r="D2" s="5">
        <v>45841</v>
      </c>
      <c r="E2" s="4">
        <v>1</v>
      </c>
      <c r="F2" s="4">
        <v>3</v>
      </c>
      <c r="G2" s="5">
        <v>45841</v>
      </c>
      <c r="H2" s="5">
        <v>45842</v>
      </c>
    </row>
    <row r="3" spans="1:8" x14ac:dyDescent="0.3">
      <c r="A3" s="4">
        <v>14</v>
      </c>
      <c r="B3" s="6">
        <v>1</v>
      </c>
      <c r="C3" s="4" t="str">
        <f t="shared" si="0"/>
        <v>14-1</v>
      </c>
      <c r="D3" s="5">
        <v>45681</v>
      </c>
      <c r="E3" s="4">
        <v>293</v>
      </c>
      <c r="F3" s="4">
        <v>3</v>
      </c>
      <c r="G3" s="5">
        <v>45628</v>
      </c>
      <c r="H3" s="5">
        <v>46083</v>
      </c>
    </row>
    <row r="4" spans="1:8" x14ac:dyDescent="0.3">
      <c r="A4" s="4">
        <v>144</v>
      </c>
      <c r="B4" s="6">
        <v>1</v>
      </c>
      <c r="C4" s="4" t="str">
        <f t="shared" si="0"/>
        <v>144-1</v>
      </c>
      <c r="D4" s="5">
        <v>45841</v>
      </c>
      <c r="E4" s="4">
        <v>9</v>
      </c>
      <c r="F4" s="4">
        <v>2</v>
      </c>
      <c r="G4" s="5">
        <v>45663</v>
      </c>
      <c r="H4" s="5">
        <v>45864</v>
      </c>
    </row>
    <row r="5" spans="1:8" x14ac:dyDescent="0.3">
      <c r="A5" s="4">
        <v>154</v>
      </c>
      <c r="B5" s="6">
        <v>1</v>
      </c>
      <c r="C5" s="4" t="str">
        <f t="shared" si="0"/>
        <v>154-1</v>
      </c>
      <c r="D5" s="5">
        <v>45841</v>
      </c>
      <c r="E5" s="4">
        <v>70</v>
      </c>
      <c r="F5" s="4">
        <v>1</v>
      </c>
      <c r="G5" s="5">
        <v>45670</v>
      </c>
      <c r="H5" s="5">
        <v>45845</v>
      </c>
    </row>
    <row r="6" spans="1:8" x14ac:dyDescent="0.3">
      <c r="A6" s="4">
        <v>54</v>
      </c>
      <c r="B6" s="6">
        <v>1</v>
      </c>
      <c r="C6" s="4" t="str">
        <f t="shared" si="0"/>
        <v>54-1</v>
      </c>
      <c r="D6" s="5">
        <v>45779</v>
      </c>
      <c r="E6" s="4">
        <v>62</v>
      </c>
      <c r="F6" s="4">
        <v>2</v>
      </c>
      <c r="G6" s="5">
        <v>45768</v>
      </c>
      <c r="H6" s="5">
        <v>45943</v>
      </c>
    </row>
    <row r="7" spans="1:8" x14ac:dyDescent="0.3">
      <c r="A7" s="4">
        <v>258</v>
      </c>
      <c r="B7" s="6">
        <v>1</v>
      </c>
      <c r="C7" s="4" t="str">
        <f t="shared" si="0"/>
        <v>258-1</v>
      </c>
      <c r="D7" s="5">
        <v>45842</v>
      </c>
      <c r="E7" s="4">
        <v>83</v>
      </c>
      <c r="F7" s="4">
        <v>1</v>
      </c>
      <c r="G7" s="5">
        <v>45831</v>
      </c>
      <c r="H7" s="5">
        <v>45999</v>
      </c>
    </row>
    <row r="8" spans="1:8" x14ac:dyDescent="0.3">
      <c r="A8" s="4">
        <v>76</v>
      </c>
      <c r="B8" s="6">
        <v>1</v>
      </c>
      <c r="C8" s="4" t="str">
        <f t="shared" si="0"/>
        <v>76-1</v>
      </c>
      <c r="D8" s="5">
        <v>45933</v>
      </c>
      <c r="E8" s="4">
        <v>83</v>
      </c>
      <c r="F8" s="4">
        <v>2</v>
      </c>
      <c r="G8" s="5">
        <v>45922</v>
      </c>
      <c r="H8" s="5">
        <v>46090</v>
      </c>
    </row>
    <row r="9" spans="1:8" x14ac:dyDescent="0.3">
      <c r="A9" s="4">
        <v>78</v>
      </c>
      <c r="B9" s="6">
        <v>1</v>
      </c>
      <c r="C9" s="4" t="str">
        <f t="shared" si="0"/>
        <v>78-1</v>
      </c>
      <c r="D9" s="5">
        <v>45989</v>
      </c>
      <c r="E9" s="4">
        <v>76</v>
      </c>
      <c r="F9" s="4">
        <v>1</v>
      </c>
      <c r="G9" s="5">
        <v>45978</v>
      </c>
      <c r="H9" s="5">
        <v>46146</v>
      </c>
    </row>
    <row r="10" spans="1:8" x14ac:dyDescent="0.3">
      <c r="A10" s="4">
        <v>20</v>
      </c>
      <c r="B10" s="6">
        <v>1</v>
      </c>
      <c r="C10" s="4" t="str">
        <f t="shared" si="0"/>
        <v>20-1</v>
      </c>
      <c r="D10" s="5">
        <v>46080</v>
      </c>
      <c r="E10" s="4">
        <v>363</v>
      </c>
      <c r="F10" s="4">
        <v>3</v>
      </c>
      <c r="G10" s="5">
        <v>46069</v>
      </c>
      <c r="H10" s="5">
        <v>46524</v>
      </c>
    </row>
    <row r="11" spans="1:8" x14ac:dyDescent="0.3">
      <c r="A11" s="4">
        <v>84</v>
      </c>
      <c r="B11" s="6">
        <v>1</v>
      </c>
      <c r="C11" s="4" t="str">
        <f t="shared" si="0"/>
        <v>84-1</v>
      </c>
      <c r="D11" s="5">
        <v>46080</v>
      </c>
      <c r="E11" s="4">
        <v>55</v>
      </c>
      <c r="F11" s="4">
        <v>2</v>
      </c>
      <c r="G11" s="5">
        <v>46069</v>
      </c>
      <c r="H11" s="5">
        <v>46209</v>
      </c>
    </row>
    <row r="12" spans="1:8" x14ac:dyDescent="0.3">
      <c r="A12" s="4">
        <v>52</v>
      </c>
      <c r="B12" s="6">
        <v>1</v>
      </c>
      <c r="C12" s="4" t="str">
        <f t="shared" si="0"/>
        <v>52-1</v>
      </c>
      <c r="D12" s="5">
        <v>46206</v>
      </c>
      <c r="E12" s="4">
        <v>91</v>
      </c>
      <c r="F12" s="4">
        <v>2</v>
      </c>
      <c r="G12" s="5">
        <v>46195</v>
      </c>
      <c r="H12" s="5">
        <v>46356</v>
      </c>
    </row>
    <row r="13" spans="1:8" x14ac:dyDescent="0.3">
      <c r="A13" s="4">
        <v>50</v>
      </c>
      <c r="B13" s="6">
        <v>1</v>
      </c>
      <c r="C13" s="4" t="str">
        <f t="shared" si="0"/>
        <v>50-1</v>
      </c>
      <c r="D13" s="5">
        <v>46144</v>
      </c>
      <c r="E13" s="4">
        <v>90</v>
      </c>
      <c r="F13" s="4">
        <v>1</v>
      </c>
      <c r="G13" s="5">
        <v>46132</v>
      </c>
      <c r="H13" s="5">
        <v>46293</v>
      </c>
    </row>
    <row r="14" spans="1:8" x14ac:dyDescent="0.3">
      <c r="A14" s="4">
        <v>82</v>
      </c>
      <c r="B14" s="6">
        <v>1</v>
      </c>
      <c r="C14" s="4" t="str">
        <f t="shared" si="0"/>
        <v>82-1</v>
      </c>
      <c r="D14" s="5">
        <v>45841</v>
      </c>
      <c r="E14" s="4">
        <v>134</v>
      </c>
      <c r="F14" s="4">
        <v>5</v>
      </c>
      <c r="G14" s="5">
        <v>45841</v>
      </c>
      <c r="H14" s="5">
        <v>46034</v>
      </c>
    </row>
    <row r="15" spans="1:8" x14ac:dyDescent="0.3">
      <c r="A15" s="4">
        <v>114</v>
      </c>
      <c r="B15" s="6">
        <v>1</v>
      </c>
      <c r="C15" s="4" t="str">
        <f t="shared" si="0"/>
        <v>114-1</v>
      </c>
      <c r="D15" s="5">
        <v>46010</v>
      </c>
      <c r="E15" s="4">
        <v>119</v>
      </c>
      <c r="F15" s="4">
        <v>5</v>
      </c>
      <c r="G15" s="5">
        <v>45999</v>
      </c>
      <c r="H15" s="5">
        <v>46188</v>
      </c>
    </row>
    <row r="16" spans="1:8" x14ac:dyDescent="0.3">
      <c r="A16" s="7">
        <v>80</v>
      </c>
      <c r="B16" s="8">
        <v>1</v>
      </c>
      <c r="C16" s="7" t="s">
        <v>5</v>
      </c>
      <c r="D16" s="5">
        <v>46185</v>
      </c>
      <c r="E16" s="4">
        <v>392</v>
      </c>
      <c r="F16" s="4">
        <v>5</v>
      </c>
      <c r="G16" s="5">
        <v>46174</v>
      </c>
      <c r="H16" s="5">
        <v>46636</v>
      </c>
    </row>
    <row r="17" spans="1:8" x14ac:dyDescent="0.3">
      <c r="A17" s="7">
        <v>174</v>
      </c>
      <c r="B17" s="8">
        <v>1</v>
      </c>
      <c r="C17" s="7" t="s">
        <v>6</v>
      </c>
      <c r="D17" s="5">
        <v>46430</v>
      </c>
      <c r="E17" s="4">
        <v>196</v>
      </c>
      <c r="F17" s="4">
        <v>1</v>
      </c>
      <c r="G17" s="5">
        <v>46419</v>
      </c>
      <c r="H17" s="5">
        <v>46685</v>
      </c>
    </row>
    <row r="18" spans="1:8" x14ac:dyDescent="0.3">
      <c r="A18" s="7">
        <v>208</v>
      </c>
      <c r="B18" s="8">
        <v>1</v>
      </c>
      <c r="C18" s="7" t="s">
        <v>7</v>
      </c>
      <c r="D18" s="5">
        <v>45845</v>
      </c>
      <c r="E18" s="4">
        <v>129</v>
      </c>
      <c r="F18" s="4">
        <v>4</v>
      </c>
      <c r="G18" s="5">
        <v>45838</v>
      </c>
      <c r="H18" s="5">
        <v>45988</v>
      </c>
    </row>
    <row r="19" spans="1:8" x14ac:dyDescent="0.3">
      <c r="A19" s="7">
        <v>212</v>
      </c>
      <c r="B19" s="8">
        <v>1</v>
      </c>
      <c r="C19" s="7" t="s">
        <v>8</v>
      </c>
      <c r="D19" s="5">
        <v>46013</v>
      </c>
      <c r="E19" s="4">
        <v>129</v>
      </c>
      <c r="F19" s="4">
        <v>4</v>
      </c>
      <c r="G19" s="5">
        <v>46006</v>
      </c>
      <c r="H19" s="5">
        <v>46156</v>
      </c>
    </row>
    <row r="20" spans="1:8" x14ac:dyDescent="0.3">
      <c r="A20" s="7">
        <v>218</v>
      </c>
      <c r="B20" s="8">
        <v>1</v>
      </c>
      <c r="C20" s="7" t="s">
        <v>9</v>
      </c>
      <c r="D20" s="5">
        <v>46181</v>
      </c>
      <c r="E20" s="4">
        <v>129</v>
      </c>
      <c r="F20" s="4">
        <v>4</v>
      </c>
      <c r="G20" s="5">
        <v>46174</v>
      </c>
      <c r="H20" s="5">
        <v>46324</v>
      </c>
    </row>
    <row r="21" spans="1:8" x14ac:dyDescent="0.3">
      <c r="A21" s="7">
        <v>228</v>
      </c>
      <c r="B21" s="8">
        <v>1</v>
      </c>
      <c r="C21" s="7" t="s">
        <v>10</v>
      </c>
      <c r="D21" s="5">
        <v>46349</v>
      </c>
      <c r="E21" s="4">
        <v>123</v>
      </c>
      <c r="F21" s="4">
        <v>4</v>
      </c>
      <c r="G21" s="5">
        <v>46342</v>
      </c>
      <c r="H21" s="5">
        <v>46486</v>
      </c>
    </row>
    <row r="22" spans="1:8" x14ac:dyDescent="0.3">
      <c r="A22" s="4">
        <v>232</v>
      </c>
      <c r="B22" s="6">
        <v>1</v>
      </c>
      <c r="C22" s="4" t="s">
        <v>11</v>
      </c>
      <c r="D22" s="5">
        <v>46510</v>
      </c>
      <c r="E22" s="4">
        <v>130</v>
      </c>
      <c r="F22" s="4">
        <v>4</v>
      </c>
      <c r="G22" s="5">
        <v>46503</v>
      </c>
      <c r="H22" s="5">
        <v>46654</v>
      </c>
    </row>
    <row r="23" spans="1:8" x14ac:dyDescent="0.3">
      <c r="A23" s="4">
        <v>234</v>
      </c>
      <c r="B23" s="6">
        <v>1</v>
      </c>
      <c r="C23" s="4" t="s">
        <v>12</v>
      </c>
      <c r="D23" s="5">
        <v>46678</v>
      </c>
      <c r="E23" s="4">
        <v>123</v>
      </c>
      <c r="F23" s="4">
        <v>4</v>
      </c>
      <c r="G23" s="5">
        <v>46671</v>
      </c>
      <c r="H23" s="5">
        <v>46815</v>
      </c>
    </row>
    <row r="24" spans="1:8" x14ac:dyDescent="0.3">
      <c r="A24" s="4">
        <v>238</v>
      </c>
      <c r="B24" s="6">
        <v>1</v>
      </c>
      <c r="C24" s="4" t="s">
        <v>13</v>
      </c>
      <c r="D24" s="5">
        <v>46839</v>
      </c>
      <c r="E24" s="4">
        <v>102</v>
      </c>
      <c r="F24" s="4">
        <v>4</v>
      </c>
      <c r="G24" s="5">
        <v>46832</v>
      </c>
      <c r="H24" s="5">
        <v>46955</v>
      </c>
    </row>
    <row r="25" spans="1:8" x14ac:dyDescent="0.3">
      <c r="A25" s="4">
        <v>266</v>
      </c>
      <c r="B25" s="6">
        <v>1</v>
      </c>
      <c r="C25" s="4" t="s">
        <v>14</v>
      </c>
      <c r="D25" s="5">
        <v>47007</v>
      </c>
      <c r="E25" s="4">
        <v>109</v>
      </c>
      <c r="F25" s="4">
        <v>4</v>
      </c>
      <c r="G25" s="5">
        <v>47000</v>
      </c>
      <c r="H25" s="5">
        <v>47130</v>
      </c>
    </row>
    <row r="26" spans="1:8" x14ac:dyDescent="0.3">
      <c r="A26" s="4">
        <v>252</v>
      </c>
      <c r="B26" s="6">
        <v>1</v>
      </c>
      <c r="C26" s="4" t="s">
        <v>15</v>
      </c>
      <c r="D26" s="5">
        <v>45621</v>
      </c>
      <c r="E26" s="4">
        <v>48</v>
      </c>
      <c r="F26" s="4">
        <v>4</v>
      </c>
      <c r="G26" s="5">
        <v>45614</v>
      </c>
      <c r="H26" s="5">
        <v>45683</v>
      </c>
    </row>
    <row r="27" spans="1:8" x14ac:dyDescent="0.3">
      <c r="A27" s="4">
        <v>228</v>
      </c>
      <c r="B27" s="6">
        <v>1</v>
      </c>
      <c r="C27" s="4" t="s">
        <v>19</v>
      </c>
      <c r="D27" s="5">
        <v>45712</v>
      </c>
      <c r="E27" s="4">
        <v>95</v>
      </c>
      <c r="F27" s="4">
        <v>4</v>
      </c>
      <c r="G27" s="5">
        <v>45705</v>
      </c>
      <c r="H27" s="5">
        <v>45821</v>
      </c>
    </row>
    <row r="33" spans="1:6" x14ac:dyDescent="0.3">
      <c r="A33" s="1"/>
      <c r="C33" s="1"/>
      <c r="D33" s="2"/>
      <c r="F33" s="1"/>
    </row>
  </sheetData>
  <conditionalFormatting sqref="A3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case</vt:lpstr>
      <vt:lpstr>Planes2</vt:lpstr>
    </vt:vector>
  </TitlesOfParts>
  <Company>Airbus Defence and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Borreguero Sanchidrian, Dr.Tamara [ES]</dc:creator>
  <cp:lastModifiedBy>ENRIQUE CHILLON BARTOL</cp:lastModifiedBy>
  <dcterms:created xsi:type="dcterms:W3CDTF">2023-12-20T10:45:09Z</dcterms:created>
  <dcterms:modified xsi:type="dcterms:W3CDTF">2026-02-16T18:41:41Z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2ac2c0a7-3db7-442d-aaa1-9aecc6dd790b</vt:lpwstr>
  </property>
  <property fmtid="{D5CDD505-2E9C-101B-9397-08002B2CF9AE}" pid="3" name="LABEL">
    <vt:lpwstr>S</vt:lpwstr>
  </property>
  <property fmtid="{D5CDD505-2E9C-101B-9397-08002B2CF9AE}" pid="4" name="L1">
    <vt:lpwstr>C-ALL</vt:lpwstr>
  </property>
  <property fmtid="{D5CDD505-2E9C-101B-9397-08002B2CF9AE}" pid="5" name="L2">
    <vt:lpwstr>C-CS</vt:lpwstr>
  </property>
  <property fmtid="{D5CDD505-2E9C-101B-9397-08002B2CF9AE}" pid="6" name="L3">
    <vt:lpwstr>C-AD-AMB</vt:lpwstr>
  </property>
  <property fmtid="{D5CDD505-2E9C-101B-9397-08002B2CF9AE}" pid="7" name="CCAV">
    <vt:lpwstr/>
  </property>
  <property fmtid="{D5CDD505-2E9C-101B-9397-08002B2CF9AE}" pid="8" name="Visual">
    <vt:lpwstr>0</vt:lpwstr>
  </property>
</Properties>
</file>